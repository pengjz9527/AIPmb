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理财产品明细" sheetId="1" r:id="rId1"/>
  </sheets>
  <definedNames>
    <definedName name="_xlnm._FilterDatabase" localSheetId="0" hidden="1">理财产品明细!$A$3:$O$4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<sst xmlns="http://schemas.openxmlformats.org/spreadsheetml/2006/main" count="30" uniqueCount="29">
  <si>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持有理财产品信息表</t>
  </si>
  <si>
    <t>数据来源: 北京银行APP · 持有理财截图  |  录入日期: 2026-06-08  |  支持多用户多产品记录</t>
  </si>
  <si>
    <t>序号</t>
  </si>
  <si>
    <t>持有人姓名</t>
  </si>
  <si>
    <t>身份证号</t>
  </si>
  <si>
    <t>产品名称</t>
  </si>
  <si>
    <t>产品分类</t>
  </si>
  <si>
    <t>产品期限</t>
  </si>
  <si>
    <t>关联卡号尾号</t>
  </si>
  <si>
    <t>持仓金额(元)</t>
  </si>
  <si>
    <t>持仓收益(元)</t>
  </si>
  <si>
    <t>投入本金(元)</t>
  </si>
  <si>
    <t>持有份额</t>
  </si>
  <si>
    <t>收益率</t>
  </si>
  <si>
    <t>可赎回日期</t>
  </si>
  <si>
    <t>可赎回金额(元)</t>
  </si>
  <si>
    <t>赎回状态</t>
  </si>
  <si>
    <t>彭楫洲</t>
  </si>
  <si>
    <t/>
  </si>
  <si>
    <t>交银理财稳享灵动慧利6个月2号</t>
  </si>
  <si>
    <t>半年宝</t>
  </si>
  <si>
    <t>6个月</t>
  </si>
  <si>
    <t>6135</t>
  </si>
  <si>
    <t>2026-09-03</t>
  </si>
  <si>
    <t>预约赎回</t>
  </si>
  <si>
    <t>王小美</t>
  </si>
  <si>
    <t>定期存款</t>
  </si>
  <si>
    <t>6个月定期存款</t>
  </si>
  <si>
    <t>到期自动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</si>
</sst>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A237E"/>
      <name val="Arial"/>
      <charset val="134"/>
    </font>
    <font>
      <sz val="9"/>
      <color rgb="FF666666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topLeftCell="D1" workbookViewId="0">
      <pane ySplit="3" topLeftCell="A4" activePane="bottomLeft" state="frozen"/>
      <selection/>
      <selection pane="bottomLeft" activeCell="M12" sqref="M12"/>
    </sheetView>
  </sheetViews>
  <sheetFormatPr defaultColWidth="9" defaultRowHeight="16.8" outlineLevelRow="4"/>
  <cols>
    <col min="1" max="1" width="6" customWidth="1"/>
    <col min="2" max="2" width="14" customWidth="1"/>
    <col min="3" max="3" width="20" customWidth="1"/>
    <col min="4" max="4" width="30" customWidth="1"/>
    <col min="5" max="5" width="12" customWidth="1"/>
    <col min="6" max="6" width="10" customWidth="1"/>
    <col min="7" max="7" width="14" customWidth="1"/>
    <col min="8" max="10" width="15" customWidth="1"/>
    <col min="11" max="11" width="14" customWidth="1"/>
    <col min="12" max="12" width="12" customWidth="1"/>
    <col min="13" max="13" width="14" customWidth="1"/>
    <col min="14" max="14" width="16" customWidth="1"/>
    <col min="15" max="15" width="12" customWidth="1"/>
  </cols>
  <sheetData>
    <row r="1" ht="20.4" spans="1:15">
      <c r="A1" s="2" t="s">
        <v>0</v>
      </c>
    </row>
    <row r="2" spans="1:15">
      <c r="A2" s="3" t="s">
        <v>1</v>
      </c>
    </row>
    <row r="3" spans="1: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spans="1:15">
      <c r="A4" s="5">
        <v>1</v>
      </c>
      <c r="B4" s="6" t="s">
        <v>17</v>
      </c>
      <c r="C4" s="5" t="s">
        <v>18</v>
      </c>
      <c r="D4" s="7" t="s">
        <v>19</v>
      </c>
      <c r="E4" s="5" t="s">
        <v>20</v>
      </c>
      <c r="F4" s="6" t="s">
        <v>21</v>
      </c>
      <c r="G4" s="5" t="s">
        <v>22</v>
      </c>
      <c r="H4" s="8">
        <v>55101.84</v>
      </c>
      <c r="I4" s="9">
        <v>5101.84</v>
      </c>
      <c r="J4" s="8">
        <f>H4-I4</f>
        <v>50000</v>
      </c>
      <c r="K4" s="9">
        <v>47814.86</v>
      </c>
      <c r="L4" s="10">
        <f>I4/J4</f>
        <v>0.1020368</v>
      </c>
      <c r="M4" s="5" t="s">
        <v>23</v>
      </c>
      <c r="N4" s="8">
        <v>55101.84</v>
      </c>
      <c r="O4" s="5" t="s">
        <v>24</v>
      </c>
    </row>
    <row r="5" s="1" customFormat="1" spans="1:15">
      <c r="A5" s="11">
        <v>2</v>
      </c>
      <c r="B5" s="11" t="s">
        <v>25</v>
      </c>
      <c r="C5" s="11"/>
      <c r="D5" s="11" t="s">
        <v>26</v>
      </c>
      <c r="E5" s="11" t="s">
        <v>27</v>
      </c>
      <c r="F5" s="11" t="s">
        <v>21</v>
      </c>
      <c r="G5" s="11">
        <v>6904</v>
      </c>
      <c r="H5" s="8">
        <v>10000</v>
      </c>
      <c r="I5" s="1">
        <v>78.03</v>
      </c>
      <c r="J5" s="8">
        <v>10000</v>
      </c>
      <c r="K5" s="1">
        <v>10000</v>
      </c>
      <c r="L5" s="12">
        <v>0.0198</v>
      </c>
      <c r="M5" s="13">
        <v>46421</v>
      </c>
      <c r="N5" s="8">
        <v>10198</v>
      </c>
      <c r="O5" s="5" t="s">
        <v>28</v>
      </c>
    </row>
  </sheetData>
  <autoFilter xmlns:etc="http://www.wps.cn/officeDocument/2017/etCustomData" ref="A3:O4" etc:filterBottomFollowUsedRange="0">
    <extLst/>
  </autoFilter>
  <mergeCells count="2">
    <mergeCell ref="A1:O1"/>
    <mergeCell ref="A2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理财产品明细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2026-06-08T19:02:00Z</dcterms:created>
  <dcterms:modified xsi:type="dcterms:W3CDTF">2026-06-09T07:30:43Z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C2BA8ECE9983B884A350276AA55CEC6D_42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